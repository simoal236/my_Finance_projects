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imoneallia\Desktop\CF_project_ALLIA_SIMONE\"/>
    </mc:Choice>
  </mc:AlternateContent>
  <xr:revisionPtr revIDLastSave="0" documentId="13_ncr:1_{B7F902EF-24AF-430F-B910-8B671B32D28B}" xr6:coauthVersionLast="47" xr6:coauthVersionMax="47" xr10:uidLastSave="{00000000-0000-0000-0000-000000000000}"/>
  <bookViews>
    <workbookView xWindow="-98" yWindow="-98" windowWidth="25396" windowHeight="15225" xr2:uid="{7D447370-C3D5-44B2-8BA8-C10B10C58145}"/>
  </bookViews>
  <sheets>
    <sheet name="Barrier Certific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19" i="1" l="1"/>
  <c r="D15" i="1"/>
  <c r="D14" i="1"/>
  <c r="D13" i="1"/>
  <c r="D11" i="1"/>
  <c r="D9" i="1"/>
  <c r="D17" i="1" l="1"/>
  <c r="D16" i="1"/>
  <c r="D3" i="1" s="1"/>
</calcChain>
</file>

<file path=xl/sharedStrings.xml><?xml version="1.0" encoding="utf-8"?>
<sst xmlns="http://schemas.openxmlformats.org/spreadsheetml/2006/main" count="80" uniqueCount="78">
  <si>
    <t>Monte Carlo parameters</t>
  </si>
  <si>
    <t>n</t>
  </si>
  <si>
    <t>nSteps</t>
  </si>
  <si>
    <t>seed</t>
  </si>
  <si>
    <t>random number seed</t>
  </si>
  <si>
    <t>issue price</t>
  </si>
  <si>
    <t>Contractual parameters</t>
  </si>
  <si>
    <t>barrier level</t>
  </si>
  <si>
    <t>barrier percentage</t>
  </si>
  <si>
    <t xml:space="preserve">barrier cap </t>
  </si>
  <si>
    <t>initial percentage</t>
  </si>
  <si>
    <t>barrier multiplier</t>
  </si>
  <si>
    <t xml:space="preserve">issue date </t>
  </si>
  <si>
    <t>barrier observation start</t>
  </si>
  <si>
    <t>final valuation date</t>
  </si>
  <si>
    <t>day diff start-end</t>
  </si>
  <si>
    <t>underlying initial value (S0)</t>
  </si>
  <si>
    <t>V0</t>
  </si>
  <si>
    <t>S0</t>
  </si>
  <si>
    <t>r0</t>
  </si>
  <si>
    <t>kappa</t>
  </si>
  <si>
    <t>mean reversion speed of V</t>
  </si>
  <si>
    <t>theta</t>
  </si>
  <si>
    <t>long term V</t>
  </si>
  <si>
    <t>Lambda</t>
  </si>
  <si>
    <t>alpha</t>
  </si>
  <si>
    <t>mean reversion speed of r</t>
  </si>
  <si>
    <t>gamma</t>
  </si>
  <si>
    <t>long term r</t>
  </si>
  <si>
    <t>sigma</t>
  </si>
  <si>
    <t>volatility parameter of r</t>
  </si>
  <si>
    <t>modelR</t>
  </si>
  <si>
    <t>rhoVS</t>
  </si>
  <si>
    <t>istantaneous correlation between the Wieners driving V and S</t>
  </si>
  <si>
    <t>rhoVr</t>
  </si>
  <si>
    <t>istantaneous correlation between the Wieners driving V and r</t>
  </si>
  <si>
    <t>rhorS</t>
  </si>
  <si>
    <t>istantaneous correlation between the Wieners driving r and S</t>
  </si>
  <si>
    <t>day diff start - obs  bar start</t>
  </si>
  <si>
    <t>number of simulations</t>
  </si>
  <si>
    <t>the price at which the certificate was issued</t>
  </si>
  <si>
    <t>initial stock price (BNP Paribas)</t>
  </si>
  <si>
    <t>barrier level percentage with respect to the underlying initial value</t>
  </si>
  <si>
    <t>actual barrier level</t>
  </si>
  <si>
    <t xml:space="preserve">the maximum payable barrier level </t>
  </si>
  <si>
    <t>ratio between the barrier cap and the issue price</t>
  </si>
  <si>
    <t>days between the issue (=pricing) date and the final valuation date</t>
  </si>
  <si>
    <t>days between the issue (=pricing) date and the barrier observation start date</t>
  </si>
  <si>
    <t>ratio between the issue price and the underlying initial value</t>
  </si>
  <si>
    <t>initial squared volatility</t>
  </si>
  <si>
    <t xml:space="preserve">volatility of volatility </t>
  </si>
  <si>
    <t>0=Vasicek, 1=CIR</t>
  </si>
  <si>
    <t>istantaneous correlation between the Wieners driving V and CrR</t>
  </si>
  <si>
    <t>istantaneous correlation between the Wieners driving r and CrR</t>
  </si>
  <si>
    <t>istantaneous correlation between the Wieners driving S and CrR</t>
  </si>
  <si>
    <t>rhoVcr</t>
  </si>
  <si>
    <t>rhoScr</t>
  </si>
  <si>
    <t>rhorcr</t>
  </si>
  <si>
    <t>C</t>
  </si>
  <si>
    <t>credit risk factor c</t>
  </si>
  <si>
    <t>initial credit-risk ( = lambda(t) from Duffie - Singleton model)</t>
  </si>
  <si>
    <t xml:space="preserve">a </t>
  </si>
  <si>
    <t>b</t>
  </si>
  <si>
    <t>parameter 'a' in Duffie - Singleton credit risk model</t>
  </si>
  <si>
    <t>parameter 'b' in Duffie - Singleton credit risk model</t>
  </si>
  <si>
    <t>CrR0</t>
  </si>
  <si>
    <t xml:space="preserve">stock, squared                              volatility  and credit risk processes parameters </t>
  </si>
  <si>
    <t>interest rates and credit risk processes parameters</t>
  </si>
  <si>
    <t>processes correlations</t>
  </si>
  <si>
    <t>time steps from the issue date to the final valuation date</t>
  </si>
  <si>
    <t>issue date</t>
  </si>
  <si>
    <t>day of the barrier observation start</t>
  </si>
  <si>
    <t>day of the barrier observation end</t>
  </si>
  <si>
    <t>initial rate</t>
  </si>
  <si>
    <t>Simulations</t>
  </si>
  <si>
    <t>Price</t>
  </si>
  <si>
    <t>Std Err</t>
  </si>
  <si>
    <t>Std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</si>
</sst>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9" fontId="0" fillId="2" borderId="4" xfId="0" applyNumberFormat="1" applyFill="1" applyBorder="1"/>
    <xf numFmtId="14" fontId="0" fillId="2" borderId="4" xfId="0" applyNumberForma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0" xfId="0" applyBorder="1"/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164" fontId="0" fillId="4" borderId="4" xfId="1" applyNumberFormat="1" applyFont="1" applyFill="1" applyBorder="1"/>
    <xf numFmtId="0" fontId="0" fillId="4" borderId="4" xfId="0" applyFill="1" applyBorder="1"/>
    <xf numFmtId="9" fontId="0" fillId="4" borderId="4" xfId="0" applyNumberFormat="1" applyFill="1" applyBorder="1"/>
    <xf numFmtId="0" fontId="0" fillId="4" borderId="5" xfId="0" applyFill="1" applyBorder="1"/>
    <xf numFmtId="0" fontId="0" fillId="4" borderId="6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11</xdr:col>
      <xdr:colOff>209550</xdr:colOff>
      <xdr:row>2</xdr:row>
      <xdr:rowOff>166688</xdr:rowOff>
    </xdr:to>
    <xdr:sp macro="[0]!Foglio1.certificate_price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492AD78B-A87D-9F61-E2ED-91A351BEEFC2}"/>
            </a:ext>
          </a:extLst>
        </xdr:cNvPr>
        <xdr:cNvSpPr/>
      </xdr:nvSpPr>
      <xdr:spPr>
        <a:xfrm>
          <a:off x="12201525" y="185738"/>
          <a:ext cx="1600200" cy="347663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PUSH</a:t>
          </a:r>
          <a:r>
            <a:rPr lang="it-IT" sz="1600" b="1" baseline="0"/>
            <a:t> TO PRICE!</a:t>
          </a:r>
          <a:endParaRPr lang="it-IT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32761-5AFF-44D6-AE50-ABCE37A7B275}">
  <sheetPr codeName="Foglio1"/>
  <dimension ref="B1:J38"/>
  <sheetViews>
    <sheetView tabSelected="1" workbookViewId="0">
      <selection activeCell="H25" sqref="H25"/>
    </sheetView>
  </sheetViews>
  <sheetFormatPr defaultRowHeight="14.25" x14ac:dyDescent="0.45"/>
  <cols>
    <col min="2" max="2" width="22.86328125" customWidth="1"/>
    <col min="3" max="3" width="22.9296875" bestFit="1" customWidth="1"/>
    <col min="4" max="4" width="15.3984375" customWidth="1"/>
    <col min="5" max="5" width="61.9296875" bestFit="1" customWidth="1"/>
    <col min="8" max="8" width="11.73046875" bestFit="1" customWidth="1"/>
    <col min="9" max="9" width="8.73046875" bestFit="1" customWidth="1"/>
    <col min="10" max="10" width="10.3984375" customWidth="1"/>
    <col min="12" max="12" width="11.59765625" bestFit="1" customWidth="1"/>
  </cols>
  <sheetData>
    <row r="1" spans="2:10" ht="14.65" thickBot="1" x14ac:dyDescent="0.5"/>
    <row r="2" spans="2:10" x14ac:dyDescent="0.45">
      <c r="B2" s="16" t="s">
        <v>0</v>
      </c>
      <c r="C2" s="32" t="s">
        <v>1</v>
      </c>
      <c r="D2" s="33">
        <v>10000</v>
      </c>
      <c r="E2" s="11" t="s">
        <v>39</v>
      </c>
      <c r="G2" s="9" t="s">
        <v>75</v>
      </c>
      <c r="H2" s="11"/>
    </row>
    <row r="3" spans="2:10" ht="14.65" thickBot="1" x14ac:dyDescent="0.5">
      <c r="B3" s="17"/>
      <c r="C3" s="34" t="s">
        <v>2</v>
      </c>
      <c r="D3" s="35">
        <f>D16</f>
        <v>549</v>
      </c>
      <c r="E3" s="13" t="s">
        <v>69</v>
      </c>
      <c r="G3" s="10" t="s">
        <v>76</v>
      </c>
      <c r="H3" s="12"/>
    </row>
    <row r="4" spans="2:10" ht="14.65" thickBot="1" x14ac:dyDescent="0.5">
      <c r="B4" s="18"/>
      <c r="C4" s="36" t="s">
        <v>3</v>
      </c>
      <c r="D4" s="37">
        <v>23</v>
      </c>
      <c r="E4" s="12" t="s">
        <v>4</v>
      </c>
    </row>
    <row r="5" spans="2:10" ht="14.65" thickBot="1" x14ac:dyDescent="0.5"/>
    <row r="6" spans="2:10" ht="14.65" thickBot="1" x14ac:dyDescent="0.5">
      <c r="B6" s="16" t="s">
        <v>6</v>
      </c>
      <c r="C6" s="1" t="s">
        <v>5</v>
      </c>
      <c r="D6" s="2">
        <v>100</v>
      </c>
      <c r="E6" s="11" t="s">
        <v>40</v>
      </c>
      <c r="H6" s="15" t="s">
        <v>74</v>
      </c>
      <c r="I6" s="15" t="s">
        <v>75</v>
      </c>
      <c r="J6" s="14" t="s">
        <v>77</v>
      </c>
    </row>
    <row r="7" spans="2:10" x14ac:dyDescent="0.45">
      <c r="B7" s="17"/>
      <c r="C7" s="3" t="s">
        <v>16</v>
      </c>
      <c r="D7" s="4">
        <v>47.844999999999999</v>
      </c>
      <c r="E7" s="13" t="s">
        <v>41</v>
      </c>
      <c r="H7" s="11">
        <v>10</v>
      </c>
      <c r="I7" s="11">
        <v>108.9633</v>
      </c>
      <c r="J7" s="11">
        <v>0.33</v>
      </c>
    </row>
    <row r="8" spans="2:10" x14ac:dyDescent="0.45">
      <c r="B8" s="17"/>
      <c r="C8" s="3" t="s">
        <v>8</v>
      </c>
      <c r="D8" s="5">
        <v>0.55000000000000004</v>
      </c>
      <c r="E8" s="13" t="s">
        <v>42</v>
      </c>
      <c r="H8" s="13">
        <v>100</v>
      </c>
      <c r="I8" s="13">
        <v>102.1431</v>
      </c>
      <c r="J8" s="13">
        <v>2.0123000000000002</v>
      </c>
    </row>
    <row r="9" spans="2:10" x14ac:dyDescent="0.45">
      <c r="B9" s="17"/>
      <c r="C9" s="3" t="s">
        <v>7</v>
      </c>
      <c r="D9" s="4">
        <f>D8*D7</f>
        <v>26.31475</v>
      </c>
      <c r="E9" s="13" t="s">
        <v>43</v>
      </c>
      <c r="H9" s="13">
        <v>1000</v>
      </c>
      <c r="I9" s="13">
        <v>102.3236</v>
      </c>
      <c r="J9" s="13">
        <v>0.6139</v>
      </c>
    </row>
    <row r="10" spans="2:10" x14ac:dyDescent="0.45">
      <c r="B10" s="17"/>
      <c r="C10" s="3" t="s">
        <v>9</v>
      </c>
      <c r="D10" s="4">
        <v>117.25</v>
      </c>
      <c r="E10" s="13" t="s">
        <v>44</v>
      </c>
      <c r="H10" s="13">
        <v>10000</v>
      </c>
      <c r="I10" s="13">
        <v>102.38849999999999</v>
      </c>
      <c r="J10" s="13">
        <v>0.19059999999999999</v>
      </c>
    </row>
    <row r="11" spans="2:10" x14ac:dyDescent="0.45">
      <c r="B11" s="17"/>
      <c r="C11" s="3" t="s">
        <v>10</v>
      </c>
      <c r="D11" s="4">
        <f xml:space="preserve"> D10 /D6</f>
        <v>1.1725000000000001</v>
      </c>
      <c r="E11" s="13" t="s">
        <v>45</v>
      </c>
      <c r="H11" s="13">
        <v>100000</v>
      </c>
      <c r="I11" s="13">
        <v>102.71339999999999</v>
      </c>
      <c r="J11" s="13">
        <v>5.79E-2</v>
      </c>
    </row>
    <row r="12" spans="2:10" x14ac:dyDescent="0.45">
      <c r="B12" s="17"/>
      <c r="C12" s="3" t="s">
        <v>11</v>
      </c>
      <c r="D12" s="4">
        <f xml:space="preserve"> D6 /D7</f>
        <v>2.0900825582610514</v>
      </c>
      <c r="E12" s="13" t="s">
        <v>48</v>
      </c>
      <c r="H12" s="13">
        <v>200000</v>
      </c>
      <c r="I12" s="13">
        <v>102.6828</v>
      </c>
      <c r="J12" s="13">
        <v>4.4400000000000002E-2</v>
      </c>
    </row>
    <row r="13" spans="2:10" ht="14.65" thickBot="1" x14ac:dyDescent="0.5">
      <c r="B13" s="17"/>
      <c r="C13" s="3" t="s">
        <v>12</v>
      </c>
      <c r="D13" s="6">
        <f xml:space="preserve"> DATE(2022,4,8)</f>
        <v>44659</v>
      </c>
      <c r="E13" s="13" t="s">
        <v>70</v>
      </c>
      <c r="H13" s="12">
        <v>300000</v>
      </c>
      <c r="I13" s="12">
        <v>102.6962</v>
      </c>
      <c r="J13" s="12">
        <v>3.3599999999999998E-2</v>
      </c>
    </row>
    <row r="14" spans="2:10" x14ac:dyDescent="0.45">
      <c r="B14" s="17"/>
      <c r="C14" s="3" t="s">
        <v>13</v>
      </c>
      <c r="D14" s="6">
        <f>DATE(2022,4,11)</f>
        <v>44662</v>
      </c>
      <c r="E14" s="13" t="s">
        <v>71</v>
      </c>
    </row>
    <row r="15" spans="2:10" x14ac:dyDescent="0.45">
      <c r="B15" s="17"/>
      <c r="C15" s="3" t="s">
        <v>14</v>
      </c>
      <c r="D15" s="6">
        <f>DATE(2023,10,9)</f>
        <v>45208</v>
      </c>
      <c r="E15" s="13" t="s">
        <v>72</v>
      </c>
    </row>
    <row r="16" spans="2:10" x14ac:dyDescent="0.45">
      <c r="B16" s="17"/>
      <c r="C16" s="3" t="s">
        <v>15</v>
      </c>
      <c r="D16" s="4">
        <f xml:space="preserve"> D15 - D13</f>
        <v>549</v>
      </c>
      <c r="E16" s="13" t="s">
        <v>46</v>
      </c>
    </row>
    <row r="17" spans="2:5" ht="14.65" thickBot="1" x14ac:dyDescent="0.5">
      <c r="B17" s="18"/>
      <c r="C17" s="7" t="s">
        <v>38</v>
      </c>
      <c r="D17" s="8">
        <f>D14-D13</f>
        <v>3</v>
      </c>
      <c r="E17" s="12" t="s">
        <v>47</v>
      </c>
    </row>
    <row r="18" spans="2:5" ht="14.65" thickBot="1" x14ac:dyDescent="0.5"/>
    <row r="19" spans="2:5" x14ac:dyDescent="0.45">
      <c r="B19" s="19" t="s">
        <v>66</v>
      </c>
      <c r="C19" s="24" t="s">
        <v>18</v>
      </c>
      <c r="D19" s="25">
        <f>D7</f>
        <v>47.844999999999999</v>
      </c>
      <c r="E19" s="11" t="s">
        <v>41</v>
      </c>
    </row>
    <row r="20" spans="2:5" x14ac:dyDescent="0.45">
      <c r="B20" s="20"/>
      <c r="C20" s="26" t="s">
        <v>17</v>
      </c>
      <c r="D20" s="27">
        <v>0.04</v>
      </c>
      <c r="E20" s="13" t="s">
        <v>49</v>
      </c>
    </row>
    <row r="21" spans="2:5" x14ac:dyDescent="0.45">
      <c r="B21" s="20"/>
      <c r="C21" s="26" t="s">
        <v>19</v>
      </c>
      <c r="D21" s="28">
        <v>0.01</v>
      </c>
      <c r="E21" s="13" t="s">
        <v>73</v>
      </c>
    </row>
    <row r="22" spans="2:5" x14ac:dyDescent="0.45">
      <c r="B22" s="20"/>
      <c r="C22" s="26" t="s">
        <v>65</v>
      </c>
      <c r="D22" s="29">
        <v>0.03</v>
      </c>
      <c r="E22" s="13" t="s">
        <v>60</v>
      </c>
    </row>
    <row r="23" spans="2:5" x14ac:dyDescent="0.45">
      <c r="B23" s="20"/>
      <c r="C23" s="26" t="s">
        <v>20</v>
      </c>
      <c r="D23" s="28">
        <v>0.2</v>
      </c>
      <c r="E23" s="13" t="s">
        <v>21</v>
      </c>
    </row>
    <row r="24" spans="2:5" x14ac:dyDescent="0.45">
      <c r="B24" s="20"/>
      <c r="C24" s="26" t="s">
        <v>22</v>
      </c>
      <c r="D24" s="27">
        <v>0.09</v>
      </c>
      <c r="E24" s="13" t="s">
        <v>23</v>
      </c>
    </row>
    <row r="25" spans="2:5" x14ac:dyDescent="0.45">
      <c r="B25" s="20"/>
      <c r="C25" s="26" t="s">
        <v>58</v>
      </c>
      <c r="D25" s="27">
        <v>0.03</v>
      </c>
      <c r="E25" s="13" t="s">
        <v>59</v>
      </c>
    </row>
    <row r="26" spans="2:5" ht="14.65" thickBot="1" x14ac:dyDescent="0.5">
      <c r="B26" s="21"/>
      <c r="C26" s="30" t="s">
        <v>24</v>
      </c>
      <c r="D26" s="31">
        <v>0.5</v>
      </c>
      <c r="E26" s="12" t="s">
        <v>50</v>
      </c>
    </row>
    <row r="27" spans="2:5" x14ac:dyDescent="0.45">
      <c r="B27" s="19" t="s">
        <v>67</v>
      </c>
      <c r="C27" s="24" t="s">
        <v>25</v>
      </c>
      <c r="D27" s="25">
        <v>0.2</v>
      </c>
      <c r="E27" s="11" t="s">
        <v>26</v>
      </c>
    </row>
    <row r="28" spans="2:5" x14ac:dyDescent="0.45">
      <c r="B28" s="22"/>
      <c r="C28" s="26" t="s">
        <v>27</v>
      </c>
      <c r="D28" s="29">
        <v>0.03</v>
      </c>
      <c r="E28" s="13" t="s">
        <v>28</v>
      </c>
    </row>
    <row r="29" spans="2:5" x14ac:dyDescent="0.45">
      <c r="B29" s="22"/>
      <c r="C29" s="26" t="s">
        <v>29</v>
      </c>
      <c r="D29" s="29">
        <v>7.0000000000000007E-2</v>
      </c>
      <c r="E29" s="13" t="s">
        <v>30</v>
      </c>
    </row>
    <row r="30" spans="2:5" x14ac:dyDescent="0.45">
      <c r="B30" s="22"/>
      <c r="C30" s="26" t="s">
        <v>31</v>
      </c>
      <c r="D30" s="28">
        <v>1</v>
      </c>
      <c r="E30" s="13" t="s">
        <v>51</v>
      </c>
    </row>
    <row r="31" spans="2:5" x14ac:dyDescent="0.45">
      <c r="B31" s="22"/>
      <c r="C31" s="26" t="s">
        <v>61</v>
      </c>
      <c r="D31" s="28">
        <v>0.2</v>
      </c>
      <c r="E31" s="13" t="s">
        <v>63</v>
      </c>
    </row>
    <row r="32" spans="2:5" ht="14.65" thickBot="1" x14ac:dyDescent="0.5">
      <c r="B32" s="23"/>
      <c r="C32" s="26" t="s">
        <v>62</v>
      </c>
      <c r="D32" s="28">
        <v>0.1</v>
      </c>
      <c r="E32" s="12" t="s">
        <v>64</v>
      </c>
    </row>
    <row r="33" spans="2:5" x14ac:dyDescent="0.45">
      <c r="B33" s="16" t="s">
        <v>68</v>
      </c>
      <c r="C33" s="24" t="s">
        <v>32</v>
      </c>
      <c r="D33" s="25">
        <v>-0.7</v>
      </c>
      <c r="E33" s="11" t="s">
        <v>33</v>
      </c>
    </row>
    <row r="34" spans="2:5" x14ac:dyDescent="0.45">
      <c r="B34" s="17"/>
      <c r="C34" s="26" t="s">
        <v>34</v>
      </c>
      <c r="D34" s="28">
        <v>0.2</v>
      </c>
      <c r="E34" s="13" t="s">
        <v>35</v>
      </c>
    </row>
    <row r="35" spans="2:5" x14ac:dyDescent="0.45">
      <c r="B35" s="17"/>
      <c r="C35" s="26" t="s">
        <v>36</v>
      </c>
      <c r="D35" s="28">
        <v>0.2</v>
      </c>
      <c r="E35" s="13" t="s">
        <v>37</v>
      </c>
    </row>
    <row r="36" spans="2:5" x14ac:dyDescent="0.45">
      <c r="B36" s="17"/>
      <c r="C36" s="26" t="s">
        <v>55</v>
      </c>
      <c r="D36" s="28">
        <v>0.3</v>
      </c>
      <c r="E36" s="13" t="s">
        <v>52</v>
      </c>
    </row>
    <row r="37" spans="2:5" x14ac:dyDescent="0.45">
      <c r="B37" s="17"/>
      <c r="C37" s="26" t="s">
        <v>56</v>
      </c>
      <c r="D37" s="28">
        <v>-0.4</v>
      </c>
      <c r="E37" s="13" t="s">
        <v>54</v>
      </c>
    </row>
    <row r="38" spans="2:5" ht="14.65" thickBot="1" x14ac:dyDescent="0.5">
      <c r="B38" s="18"/>
      <c r="C38" s="30" t="s">
        <v>57</v>
      </c>
      <c r="D38" s="31">
        <v>0.3</v>
      </c>
      <c r="E38" s="12" t="s">
        <v>53</v>
      </c>
    </row>
  </sheetData>
  <mergeCells count="5">
    <mergeCell ref="B2:B4"/>
    <mergeCell ref="B6:B17"/>
    <mergeCell ref="B19:B26"/>
    <mergeCell ref="B27:B32"/>
    <mergeCell ref="B33:B3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Barrier Certificate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simoneallia</dc:creator>
  <cp:lastModifiedBy>simoneallia</cp:lastModifiedBy>
  <dcterms:created xsi:type="dcterms:W3CDTF">2023-06-13T10:36:32Z</dcterms:created>
  <dcterms:modified xsi:type="dcterms:W3CDTF">2023-06-23T14:45:34Z</dcterms:modified>
</cp:coreProperties>
</file>